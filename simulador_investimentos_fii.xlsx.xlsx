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>
    <definedName name="aporte">'Página1'!$D$16</definedName>
    <definedName name="rendimento_carteira">'Página1'!$D$12</definedName>
    <definedName name="patrimonio">'Página1'!$D$19</definedName>
    <definedName name="sugestao_investimento">'Página1'!$B$13</definedName>
    <definedName name="salario">'Página1'!$D$11</definedName>
    <definedName name="qtd_anos">'Página1'!$D$17</definedName>
    <definedName name="taxa_mensal">'Página1'!$D$18</definedName>
  </definedNames>
  <calcPr/>
</workbook>
</file>

<file path=xl/sharedStrings.xml><?xml version="1.0" encoding="utf-8"?>
<sst xmlns="http://schemas.openxmlformats.org/spreadsheetml/2006/main" count="69" uniqueCount="34">
  <si>
    <t>CHAVE</t>
  </si>
  <si>
    <t>PERFIL</t>
  </si>
  <si>
    <t>TIPO DE FII</t>
  </si>
  <si>
    <t>%</t>
  </si>
  <si>
    <t>Conservador</t>
  </si>
  <si>
    <t>PAPEL</t>
  </si>
  <si>
    <t>TIJOLO</t>
  </si>
  <si>
    <t>HÍBRIDOS</t>
  </si>
  <si>
    <t>FOFs</t>
  </si>
  <si>
    <t>DESENVOLVIMENTO</t>
  </si>
  <si>
    <t>HOTELARIAS</t>
  </si>
  <si>
    <t>Moderado</t>
  </si>
  <si>
    <t>Agressivo</t>
  </si>
  <si>
    <t>CONFIGURAÇÕES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</si>
  <si>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</si>
  <si>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</si>
  <si>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</si>
  <si>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</si>
  <si>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</si>
  <si>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</si>
  <si>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</si>
  <si>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>Patrimônio acumulado?</t>
  </si>
  <si>
    <t>Divendendos mensais?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</si>
  <si>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</si>
  <si>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</si>
  <si>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</si>
  <si>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</si>
  <si>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</si>
  <si>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</si>
  <si>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</si>
  <si>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Valor a ser investido por mês</t>
  </si>
  <si>
    <t>Tipo de FII</t>
  </si>
  <si>
    <t>Percentual Sugerido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</si>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</sst>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/>
    <font>
      <sz val="12.0"/>
      <color theme="1"/>
      <name val="Arial"/>
      <scheme val="minor"/>
    </font>
    <font>
      <b/>
      <sz val="13.0"/>
      <color rgb="FFFFFFFF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rgb="FFFF99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999999"/>
        <bgColor rgb="FF999999"/>
      </patternFill>
    </fill>
  </fills>
  <borders count="30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EFEFEF"/>
      </bottom>
    </border>
    <border>
      <top style="medium">
        <color rgb="FF000000"/>
      </top>
      <bottom style="thin">
        <color rgb="FFEFEFEF"/>
      </bottom>
    </border>
    <border>
      <right style="medium">
        <color rgb="FF000000"/>
      </right>
      <top style="medium">
        <color rgb="FF000000"/>
      </top>
      <bottom style="thin">
        <color rgb="FFEFEFEF"/>
      </bottom>
    </border>
    <border>
      <left style="medium">
        <color rgb="FF000000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medium">
        <color rgb="FF000000"/>
      </right>
      <top style="thin">
        <color rgb="FFEFEFEF"/>
      </top>
      <bottom style="thin">
        <color rgb="FFEFEFEF"/>
      </bottom>
    </border>
    <border>
      <left style="medium">
        <color rgb="FF000000"/>
      </left>
      <top style="thin">
        <color rgb="FFEFEFEF"/>
      </top>
      <bottom style="medium">
        <color rgb="FF000000"/>
      </bottom>
    </border>
    <border>
      <right style="thin">
        <color rgb="FFEFEFEF"/>
      </right>
      <top style="thin">
        <color rgb="FFEFEFEF"/>
      </top>
      <bottom style="medium">
        <color rgb="FF000000"/>
      </bottom>
    </border>
    <border>
      <left style="thin">
        <color rgb="FFEFEFEF"/>
      </left>
      <right style="medium">
        <color rgb="FF000000"/>
      </right>
      <top style="thin">
        <color rgb="FFEFEFEF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B7B7B7"/>
      </bottom>
    </border>
    <border>
      <top style="thick">
        <color rgb="FF000000"/>
      </top>
      <bottom style="thin">
        <color rgb="FFB7B7B7"/>
      </bottom>
    </border>
    <border>
      <right style="thick">
        <color rgb="FF000000"/>
      </right>
      <top style="thick">
        <color rgb="FF000000"/>
      </top>
      <bottom style="thin">
        <color rgb="FFB7B7B7"/>
      </bottom>
    </border>
    <border>
      <left style="thick">
        <color rgb="FF000000"/>
      </left>
      <top style="thin">
        <color rgb="FFB7B7B7"/>
      </top>
      <bottom style="thin">
        <color rgb="FFEFEFEF"/>
      </bottom>
    </border>
    <border>
      <right style="thin">
        <color rgb="FFEFEFEF"/>
      </right>
      <top style="thin">
        <color rgb="FFB7B7B7"/>
      </top>
      <bottom style="thin">
        <color rgb="FFEFEFEF"/>
      </bottom>
    </border>
    <border>
      <left style="thin">
        <color rgb="FFEFEFEF"/>
      </left>
      <right style="thick">
        <color rgb="FF000000"/>
      </right>
      <top style="thin">
        <color rgb="FFB7B7B7"/>
      </top>
      <bottom style="thin">
        <color rgb="FFEFEFEF"/>
      </bottom>
    </border>
    <border>
      <left style="thick">
        <color rgb="FF000000"/>
      </left>
      <top style="thin">
        <color rgb="FFEFEFEF"/>
      </top>
      <bottom style="thin">
        <color rgb="FFEFEFEF"/>
      </bottom>
    </border>
    <border>
      <left style="thin">
        <color rgb="FFEFEFEF"/>
      </left>
      <right style="thick">
        <color rgb="FF000000"/>
      </right>
      <top style="thin">
        <color rgb="FFEFEFEF"/>
      </top>
      <bottom style="thin">
        <color rgb="FFEFEFEF"/>
      </bottom>
    </border>
    <border>
      <left style="thick">
        <color rgb="FF000000"/>
      </left>
      <top style="thin">
        <color rgb="FFEFEFEF"/>
      </top>
      <bottom style="thick">
        <color rgb="FF000000"/>
      </bottom>
    </border>
    <border>
      <right style="thin">
        <color rgb="FFEFEFEF"/>
      </right>
      <top style="thin">
        <color rgb="FFEFEFEF"/>
      </top>
      <bottom style="thick">
        <color rgb="FF000000"/>
      </bottom>
    </border>
    <border>
      <left style="thin">
        <color rgb="FFEFEFEF"/>
      </left>
      <right style="thick">
        <color rgb="FF000000"/>
      </right>
      <top style="thin">
        <color rgb="FFEFEFEF"/>
      </top>
      <bottom style="thick">
        <color rgb="FF000000"/>
      </bottom>
    </border>
    <border>
      <right style="thin">
        <color rgb="FFB7B7B7"/>
      </right>
      <top style="thick">
        <color rgb="FF000000"/>
      </top>
      <bottom style="thin">
        <color rgb="FFB7B7B7"/>
      </bottom>
    </border>
    <border>
      <left style="thin">
        <color rgb="FFB7B7B7"/>
      </left>
      <right style="thick">
        <color rgb="FF000000"/>
      </right>
      <top style="thick">
        <color rgb="FF000000"/>
      </top>
      <bottom style="thin">
        <color rgb="FFB7B7B7"/>
      </bottom>
    </border>
    <border>
      <left style="thick">
        <color rgb="FF000000"/>
      </left>
      <right style="thin">
        <color rgb="FFEFEFEF"/>
      </right>
      <top style="thin">
        <color rgb="FFB7B7B7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B7B7B7"/>
      </top>
      <bottom style="thin">
        <color rgb="FFEFEFEF"/>
      </bottom>
    </border>
    <border>
      <left style="thick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ck">
        <color rgb="FF000000"/>
      </left>
      <right style="thin">
        <color rgb="FFEFEFEF"/>
      </right>
      <top style="thin">
        <color rgb="FFEFEFEF"/>
      </top>
      <bottom style="thick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2" fillId="2" fontId="2" numFmtId="0" xfId="0" applyAlignment="1" applyBorder="1" applyFill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3" fontId="4" numFmtId="0" xfId="0" applyAlignment="1" applyBorder="1" applyFill="1" applyFont="1">
      <alignment readingOrder="0"/>
    </xf>
    <xf borderId="6" fillId="0" fontId="3" numFmtId="0" xfId="0" applyBorder="1" applyFont="1"/>
    <xf borderId="7" fillId="0" fontId="1" numFmtId="164" xfId="0" applyAlignment="1" applyBorder="1" applyFont="1" applyNumberFormat="1">
      <alignment horizontal="center" readingOrder="0"/>
    </xf>
    <xf borderId="7" fillId="0" fontId="1" numFmtId="10" xfId="0" applyAlignment="1" applyBorder="1" applyFont="1" applyNumberFormat="1">
      <alignment horizontal="center" readingOrder="0"/>
    </xf>
    <xf borderId="8" fillId="3" fontId="4" numFmtId="0" xfId="0" applyAlignment="1" applyBorder="1" applyFill="1" applyFont="1">
      <alignment readingOrder="0"/>
    </xf>
    <xf borderId="9" fillId="0" fontId="3" numFmtId="0" xfId="0" applyBorder="1" applyFont="1"/>
    <xf borderId="10" fillId="0" fontId="1" numFmtId="164" xfId="0" applyAlignment="1" applyBorder="1" applyFont="1" applyNumberFormat="1">
      <alignment horizontal="center"/>
    </xf>
    <xf borderId="11" fillId="4" fontId="5" numFmtId="0" xfId="0" applyBorder="1" applyFill="1" applyFont="1"/>
    <xf borderId="12" fillId="0" fontId="3" numFmtId="0" xfId="0" applyBorder="1" applyFont="1"/>
    <xf borderId="13" fillId="0" fontId="3" numFmtId="0" xfId="0" applyBorder="1" applyFont="1"/>
    <xf borderId="14" fillId="0" fontId="4" numFmtId="0" xfId="0" applyAlignment="1" applyBorder="1" applyFont="1">
      <alignment readingOrder="0"/>
    </xf>
    <xf borderId="15" fillId="0" fontId="3" numFmtId="0" xfId="0" applyBorder="1" applyFont="1"/>
    <xf borderId="16" fillId="0" fontId="6" numFmtId="164" xfId="0" applyAlignment="1" applyBorder="1" applyFont="1" applyNumberFormat="1">
      <alignment horizontal="center" readingOrder="0"/>
    </xf>
    <xf borderId="17" fillId="0" fontId="4" numFmtId="0" xfId="0" applyAlignment="1" applyBorder="1" applyFont="1">
      <alignment readingOrder="0"/>
    </xf>
    <xf borderId="18" fillId="0" fontId="6" numFmtId="0" xfId="0" applyAlignment="1" applyBorder="1" applyFont="1">
      <alignment horizontal="center" readingOrder="0"/>
    </xf>
    <xf borderId="18" fillId="0" fontId="6" numFmtId="10" xfId="0" applyAlignment="1" applyBorder="1" applyFont="1" applyNumberFormat="1">
      <alignment horizontal="center" readingOrder="0"/>
    </xf>
    <xf borderId="17" fillId="3" fontId="7" numFmtId="0" xfId="0" applyAlignment="1" applyBorder="1" applyFill="1" applyFont="1">
      <alignment readingOrder="0"/>
    </xf>
    <xf borderId="18" fillId="3" fontId="6" numFmtId="164" xfId="0" applyAlignment="1" applyBorder="1" applyFill="1" applyFont="1" applyNumberFormat="1">
      <alignment horizontal="center"/>
    </xf>
    <xf borderId="19" fillId="3" fontId="7" numFmtId="0" xfId="0" applyAlignment="1" applyBorder="1" applyFill="1" applyFont="1">
      <alignment readingOrder="0"/>
    </xf>
    <xf borderId="20" fillId="0" fontId="3" numFmtId="0" xfId="0" applyBorder="1" applyFont="1"/>
    <xf borderId="21" fillId="3" fontId="6" numFmtId="164" xfId="0" applyAlignment="1" applyBorder="1" applyFill="1" applyFont="1" applyNumberFormat="1">
      <alignment horizontal="center"/>
    </xf>
    <xf borderId="22" fillId="0" fontId="3" numFmtId="0" xfId="0" applyBorder="1" applyFont="1"/>
    <xf borderId="23" fillId="4" fontId="8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readingOrder="0"/>
    </xf>
    <xf borderId="24" fillId="3" fontId="4" numFmtId="0" xfId="0" applyAlignment="1" applyBorder="1" applyFill="1" applyFont="1">
      <alignment readingOrder="0"/>
    </xf>
    <xf borderId="25" fillId="3" fontId="1" numFmtId="164" xfId="0" applyAlignment="1" applyBorder="1" applyFill="1" applyFont="1" applyNumberFormat="1">
      <alignment horizontal="center"/>
    </xf>
    <xf borderId="16" fillId="3" fontId="1" numFmtId="164" xfId="0" applyAlignment="1" applyBorder="1" applyFill="1" applyFont="1" applyNumberFormat="1">
      <alignment horizontal="center"/>
    </xf>
    <xf borderId="26" fillId="3" fontId="4" numFmtId="0" xfId="0" applyAlignment="1" applyBorder="1" applyFill="1" applyFont="1">
      <alignment readingOrder="0"/>
    </xf>
    <xf borderId="27" fillId="3" fontId="1" numFmtId="164" xfId="0" applyAlignment="1" applyBorder="1" applyFill="1" applyFont="1" applyNumberFormat="1">
      <alignment horizontal="center"/>
    </xf>
    <xf borderId="18" fillId="3" fontId="1" numFmtId="164" xfId="0" applyAlignment="1" applyBorder="1" applyFill="1" applyFont="1" applyNumberFormat="1">
      <alignment horizontal="center"/>
    </xf>
    <xf borderId="28" fillId="3" fontId="4" numFmtId="0" xfId="0" applyAlignment="1" applyBorder="1" applyFill="1" applyFont="1">
      <alignment readingOrder="0"/>
    </xf>
    <xf borderId="29" fillId="3" fontId="1" numFmtId="164" xfId="0" applyAlignment="1" applyBorder="1" applyFill="1" applyFont="1" applyNumberFormat="1">
      <alignment horizontal="center"/>
    </xf>
    <xf borderId="21" fillId="3" fontId="1" numFmtId="164" xfId="0" applyAlignment="1" applyBorder="1" applyFill="1" applyFont="1" applyNumberFormat="1">
      <alignment horizontal="center"/>
    </xf>
    <xf borderId="0" fillId="5" fontId="10" numFmtId="0" xfId="0" applyAlignment="1" applyFill="1" applyFont="1">
      <alignment readingOrder="0"/>
    </xf>
    <xf borderId="0" fillId="5" fontId="10" numFmtId="0" xfId="0" applyAlignment="1" applyFill="1" applyFont="1">
      <alignment horizontal="center" readingOrder="0"/>
    </xf>
    <xf borderId="0" fillId="5" fontId="1" numFmtId="0" xfId="0" applyFill="1" applyFont="1"/>
    <xf borderId="0" fillId="3" fontId="6" numFmtId="0" xfId="0" applyAlignment="1" applyFill="1" applyFont="1">
      <alignment readingOrder="0"/>
    </xf>
    <xf borderId="0" fillId="3" fontId="1" numFmtId="164" xfId="0" applyAlignment="1" applyFill="1" applyFont="1" applyNumberFormat="1">
      <alignment horizontal="center"/>
    </xf>
    <xf borderId="0" fillId="3" fontId="1" numFmtId="0" xfId="0" applyFill="1" applyFont="1"/>
    <xf borderId="0" fillId="6" fontId="6" numFmtId="0" xfId="0" applyAlignment="1" applyFill="1" applyFont="1">
      <alignment horizontal="center" readingOrder="0"/>
    </xf>
    <xf borderId="0" fillId="6" fontId="6" numFmtId="0" xfId="0" applyFill="1" applyFont="1"/>
    <xf borderId="0" fillId="6" fontId="6" numFmtId="164" xfId="0" applyAlignment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'Página1'!$C$33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'Página1'!$B$34:$B$39</c:f>
            </c:strRef>
          </c:cat>
          <c:val>
            <c:numRef>
              <c:f>'Página1'!$C$34:$C$39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41</xdr:row>
      <xdr:rowOff>57150</xdr:rowOff>
    </xdr:from>
    <xdr:ext cx="6724650" cy="41529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152400</xdr:colOff>
      <xdr:row>0</xdr:row>
      <xdr:rowOff>152400</xdr:rowOff>
    </xdr:from>
    <xdr:ext cx="6858000" cy="140017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3" width="37.38"/>
    <col customWidth="1" min="5" max="7" width="0.38"/>
    <col hidden="1" min="8" max="25" width="12.63"/>
  </cols>
  <sheetData>
    <row r="10">
      <c r="B10" s="9" t="s">
        <v>13</v>
      </c>
      <c r="C10" s="10"/>
      <c r="D10" s="11"/>
    </row>
    <row r="11">
      <c r="B11" s="12" t="s">
        <v>14</v>
      </c>
      <c r="C11" s="13"/>
      <c r="D11" s="14">
        <v>5000.0</v>
      </c>
    </row>
    <row r="12">
      <c r="B12" s="12" t="s">
        <v>15</v>
      </c>
      <c r="C12" s="13"/>
      <c r="D12" s="15">
        <v>0.01</v>
      </c>
    </row>
    <row r="13">
      <c r="B13" s="16" t="s">
        <v>16</v>
      </c>
      <c r="C13" s="17"/>
      <c r="D13" s="18">
        <f>D11*30%</f>
        <v>1500</v>
      </c>
    </row>
    <row r="15">
      <c r="B15" s="19" t="s">
        <v>17</v>
      </c>
      <c r="C15" s="20"/>
      <c r="D15" s="21"/>
    </row>
    <row r="16">
      <c r="B16" s="22" t="s">
        <v>18</v>
      </c>
      <c r="C16" s="23"/>
      <c r="D16" s="24">
        <v>500.0</v>
      </c>
    </row>
    <row r="17">
      <c r="B17" s="25" t="s">
        <v>19</v>
      </c>
      <c r="C17" s="13"/>
      <c r="D17" s="26">
        <v>5.0</v>
      </c>
    </row>
    <row r="18">
      <c r="B18" s="25" t="s">
        <v>20</v>
      </c>
      <c r="C18" s="13"/>
      <c r="D18" s="27">
        <v>0.01079</v>
      </c>
    </row>
    <row r="19">
      <c r="B19" s="28" t="s">
        <v>21</v>
      </c>
      <c r="C19" s="13"/>
      <c r="D19" s="29">
        <f>FV(taxa_mensal,qtd_anos*12,-aporte)</f>
        <v>41888.457</v>
      </c>
    </row>
    <row r="20">
      <c r="B20" s="30" t="s">
        <v>22</v>
      </c>
      <c r="C20" s="31"/>
      <c r="D20" s="32">
        <f>patrimonio*rendimento_carteira</f>
        <v>418.88457</v>
      </c>
    </row>
    <row r="22">
      <c r="B22" s="19" t="s">
        <v>17</v>
      </c>
      <c r="C22" s="33"/>
      <c r="D22" s="34" t="s">
        <v>23</v>
      </c>
    </row>
    <row r="23">
      <c r="A23" s="35">
        <v>2.0</v>
      </c>
      <c r="B23" s="36" t="s">
        <v>24</v>
      </c>
      <c r="C23" s="37">
        <f t="shared" ref="C23:C27" si="1">FV($D$18,$A23*12,-$D$16)</f>
        <v>13613.81365</v>
      </c>
      <c r="D23" s="38">
        <f>C23*rendimento_carteira</f>
        <v>136.1381365</v>
      </c>
    </row>
    <row r="24">
      <c r="A24" s="35">
        <v>5.0</v>
      </c>
      <c r="B24" s="39" t="s">
        <v>25</v>
      </c>
      <c r="C24" s="40">
        <f t="shared" si="1"/>
        <v>41888.457</v>
      </c>
      <c r="D24" s="41">
        <f>C24*rendimento_carteira</f>
        <v>418.88457</v>
      </c>
    </row>
    <row r="25">
      <c r="A25" s="35">
        <v>10.0</v>
      </c>
      <c r="B25" s="39" t="s">
        <v>26</v>
      </c>
      <c r="C25" s="40">
        <f t="shared" si="1"/>
        <v>121642.1063</v>
      </c>
      <c r="D25" s="41">
        <f>C25*rendimento_carteira</f>
        <v>1216.421063</v>
      </c>
    </row>
    <row r="26">
      <c r="A26" s="35">
        <v>20.0</v>
      </c>
      <c r="B26" s="39" t="s">
        <v>27</v>
      </c>
      <c r="C26" s="40">
        <f t="shared" si="1"/>
        <v>562599.2</v>
      </c>
      <c r="D26" s="41">
        <f>C26*rendimento_carteira</f>
        <v>5625.992</v>
      </c>
    </row>
    <row r="27">
      <c r="A27" s="35">
        <v>30.0</v>
      </c>
      <c r="B27" s="42" t="s">
        <v>28</v>
      </c>
      <c r="C27" s="43">
        <f t="shared" si="1"/>
        <v>2161084.828</v>
      </c>
      <c r="D27" s="44">
        <f>C27*rendimento_carteira</f>
        <v>21610.84828</v>
      </c>
    </row>
    <row r="30">
      <c r="B30" s="45" t="s">
        <v>29</v>
      </c>
      <c r="C30" s="46" t="s">
        <v>11</v>
      </c>
      <c r="D30" s="47"/>
    </row>
    <row r="31">
      <c r="B31" s="48" t="s">
        <v>30</v>
      </c>
      <c r="C31" s="49">
        <f>aporte</f>
        <v>500</v>
      </c>
      <c r="D31" s="50"/>
    </row>
    <row r="33">
      <c r="B33" s="51" t="s">
        <v>31</v>
      </c>
      <c r="C33" s="51" t="s">
        <v>32</v>
      </c>
      <c r="D33" s="51" t="s">
        <v>33</v>
      </c>
    </row>
    <row r="34">
      <c r="B34" s="3" t="s">
        <v>5</v>
      </c>
      <c r="C34" s="4">
        <f>VLOOKUP($C$30&amp;"-"&amp;B34,'Página2'!A:D,4,FALSE)</f>
        <v>0.32</v>
      </c>
      <c r="D34" s="49">
        <f t="shared" ref="D34:D39" si="2">$C$31*C34</f>
        <v>160</v>
      </c>
    </row>
    <row r="35">
      <c r="B35" s="3" t="s">
        <v>6</v>
      </c>
      <c r="C35" s="4">
        <f>VLOOKUP($C$30&amp;"-"&amp;B35,'Página2'!A:D,4,FALSE)</f>
        <v>0.4</v>
      </c>
      <c r="D35" s="49">
        <f t="shared" si="2"/>
        <v>200</v>
      </c>
    </row>
    <row r="36">
      <c r="B36" s="3" t="s">
        <v>7</v>
      </c>
      <c r="C36" s="4">
        <f>VLOOKUP($C$30&amp;"-"&amp;B36,'Página2'!A:D,4,FALSE)</f>
        <v>0.08</v>
      </c>
      <c r="D36" s="49">
        <f t="shared" si="2"/>
        <v>40</v>
      </c>
    </row>
    <row r="37">
      <c r="B37" s="3" t="s">
        <v>8</v>
      </c>
      <c r="C37" s="4">
        <f>VLOOKUP($C$30&amp;"-"&amp;B37,'Página2'!A:D,4,FALSE)</f>
        <v>0.1</v>
      </c>
      <c r="D37" s="49">
        <f t="shared" si="2"/>
        <v>50</v>
      </c>
    </row>
    <row r="38">
      <c r="B38" s="3" t="s">
        <v>9</v>
      </c>
      <c r="C38" s="4">
        <f>VLOOKUP($C$30&amp;"-"&amp;B38,'Página2'!A:D,4,FALSE)</f>
        <v>0.1</v>
      </c>
      <c r="D38" s="49">
        <f t="shared" si="2"/>
        <v>50</v>
      </c>
    </row>
    <row r="39">
      <c r="B39" s="3" t="s">
        <v>10</v>
      </c>
      <c r="C39" s="4">
        <f>VLOOKUP($C$30&amp;"-"&amp;B39,'Página2'!A:D,4,FALSE)</f>
        <v>0</v>
      </c>
      <c r="D39" s="49">
        <f t="shared" si="2"/>
        <v>0</v>
      </c>
    </row>
    <row r="40">
      <c r="B40" s="52"/>
      <c r="C40" s="52"/>
      <c r="D40" s="53">
        <f>SUM(D34:D39)</f>
        <v>500</v>
      </c>
    </row>
  </sheetData>
  <mergeCells count="11">
    <mergeCell ref="B11:C11"/>
    <mergeCell ref="B12:C12"/>
    <mergeCell ref="B13:C13"/>
    <mergeCell ref="B10:D10"/>
    <mergeCell ref="B22:C22"/>
    <mergeCell ref="B16:C16"/>
    <mergeCell ref="B17:C17"/>
    <mergeCell ref="B18:C18"/>
    <mergeCell ref="B19:C19"/>
    <mergeCell ref="B20:C20"/>
    <mergeCell ref="B15:D15"/>
  </mergeCells>
  <dataValidations>
    <dataValidation type="list" allowBlank="1" showErrorMessage="1" sqref="C30">
      <formula1>"Conservador,Moderado,Agressivo"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3" max="3" width="17.5"/>
  </cols>
  <sheetData>
    <row r="3">
      <c r="A3" s="1" t="s">
        <v>0</v>
      </c>
      <c r="B3" s="1" t="s">
        <v>1</v>
      </c>
      <c r="C3" s="1" t="s">
        <v>2</v>
      </c>
      <c r="D3" s="1" t="s">
        <v>3</v>
      </c>
    </row>
    <row r="4">
      <c r="A4" s="2" t="str">
        <f t="shared" ref="A4:A21" si="1">B4&amp;"-"&amp;C4</f>
        <v>Conservador-PAPEL</v>
      </c>
      <c r="B4" s="1" t="s">
        <v>4</v>
      </c>
      <c r="C4" s="3" t="s">
        <v>5</v>
      </c>
      <c r="D4" s="4">
        <v>0.3</v>
      </c>
    </row>
    <row r="5">
      <c r="A5" s="2" t="str">
        <f t="shared" si="1"/>
        <v>Conservador-TIJOLO</v>
      </c>
      <c r="B5" s="1" t="s">
        <v>4</v>
      </c>
      <c r="C5" s="3" t="s">
        <v>6</v>
      </c>
      <c r="D5" s="4">
        <v>0.5</v>
      </c>
    </row>
    <row r="6">
      <c r="A6" s="2" t="str">
        <f t="shared" si="1"/>
        <v>Conservador-HÍBRIDOS</v>
      </c>
      <c r="B6" s="1" t="s">
        <v>4</v>
      </c>
      <c r="C6" s="3" t="s">
        <v>7</v>
      </c>
      <c r="D6" s="4">
        <v>0.1</v>
      </c>
    </row>
    <row r="7">
      <c r="A7" s="2" t="str">
        <f t="shared" si="1"/>
        <v>Conservador-FOFs</v>
      </c>
      <c r="B7" s="1" t="s">
        <v>4</v>
      </c>
      <c r="C7" s="3" t="s">
        <v>8</v>
      </c>
      <c r="D7" s="4">
        <v>0.1</v>
      </c>
    </row>
    <row r="8">
      <c r="A8" s="2" t="str">
        <f t="shared" si="1"/>
        <v>Conservador-DESENVOLVIMENTO</v>
      </c>
      <c r="B8" s="1" t="s">
        <v>4</v>
      </c>
      <c r="C8" s="3" t="s">
        <v>9</v>
      </c>
      <c r="D8" s="4">
        <v>0.0</v>
      </c>
    </row>
    <row r="9">
      <c r="A9" s="5" t="str">
        <f t="shared" si="1"/>
        <v>Conservador-HOTELARIAS</v>
      </c>
      <c r="B9" s="6" t="s">
        <v>4</v>
      </c>
      <c r="C9" s="7" t="s">
        <v>10</v>
      </c>
      <c r="D9" s="8">
        <v>0.0</v>
      </c>
    </row>
    <row r="10">
      <c r="A10" s="2" t="str">
        <f t="shared" si="1"/>
        <v>Moderado-PAPEL</v>
      </c>
      <c r="B10" s="1" t="s">
        <v>11</v>
      </c>
      <c r="C10" s="3" t="s">
        <v>5</v>
      </c>
      <c r="D10" s="4">
        <v>0.32</v>
      </c>
    </row>
    <row r="11">
      <c r="A11" s="2" t="str">
        <f t="shared" si="1"/>
        <v>Moderado-TIJOLO</v>
      </c>
      <c r="B11" s="1" t="s">
        <v>11</v>
      </c>
      <c r="C11" s="3" t="s">
        <v>6</v>
      </c>
      <c r="D11" s="4">
        <v>0.4</v>
      </c>
    </row>
    <row r="12">
      <c r="A12" s="2" t="str">
        <f t="shared" si="1"/>
        <v>Moderado-HÍBRIDOS</v>
      </c>
      <c r="B12" s="1" t="s">
        <v>11</v>
      </c>
      <c r="C12" s="3" t="s">
        <v>7</v>
      </c>
      <c r="D12" s="4">
        <v>0.08</v>
      </c>
    </row>
    <row r="13">
      <c r="A13" s="2" t="str">
        <f t="shared" si="1"/>
        <v>Moderado-FOFs</v>
      </c>
      <c r="B13" s="1" t="s">
        <v>11</v>
      </c>
      <c r="C13" s="3" t="s">
        <v>8</v>
      </c>
      <c r="D13" s="4">
        <v>0.1</v>
      </c>
    </row>
    <row r="14">
      <c r="A14" s="2" t="str">
        <f t="shared" si="1"/>
        <v>Moderado-DESENVOLVIMENTO</v>
      </c>
      <c r="B14" s="1" t="s">
        <v>11</v>
      </c>
      <c r="C14" s="3" t="s">
        <v>9</v>
      </c>
      <c r="D14" s="4">
        <v>0.1</v>
      </c>
    </row>
    <row r="15">
      <c r="A15" s="5" t="str">
        <f t="shared" si="1"/>
        <v>Moderado-HOTELARIAS</v>
      </c>
      <c r="B15" s="6" t="s">
        <v>11</v>
      </c>
      <c r="C15" s="7" t="s">
        <v>10</v>
      </c>
      <c r="D15" s="8">
        <v>0.0</v>
      </c>
    </row>
    <row r="16">
      <c r="A16" s="2" t="str">
        <f t="shared" si="1"/>
        <v>Agressivo-PAPEL</v>
      </c>
      <c r="B16" s="1" t="s">
        <v>12</v>
      </c>
      <c r="C16" s="3" t="s">
        <v>5</v>
      </c>
      <c r="D16" s="4">
        <v>0.5</v>
      </c>
    </row>
    <row r="17">
      <c r="A17" s="2" t="str">
        <f t="shared" si="1"/>
        <v>Agressivo-TIJOLO</v>
      </c>
      <c r="B17" s="1" t="s">
        <v>12</v>
      </c>
      <c r="C17" s="3" t="s">
        <v>6</v>
      </c>
      <c r="D17" s="4">
        <v>0.1</v>
      </c>
    </row>
    <row r="18">
      <c r="A18" s="2" t="str">
        <f t="shared" si="1"/>
        <v>Agressivo-HÍBRIDOS</v>
      </c>
      <c r="B18" s="1" t="s">
        <v>12</v>
      </c>
      <c r="C18" s="3" t="s">
        <v>7</v>
      </c>
      <c r="D18" s="4">
        <v>0.05</v>
      </c>
    </row>
    <row r="19">
      <c r="A19" s="2" t="str">
        <f t="shared" si="1"/>
        <v>Agressivo-FOFs</v>
      </c>
      <c r="B19" s="1" t="s">
        <v>12</v>
      </c>
      <c r="C19" s="3" t="s">
        <v>8</v>
      </c>
      <c r="D19" s="4">
        <v>0.05</v>
      </c>
    </row>
    <row r="20">
      <c r="A20" s="2" t="str">
        <f t="shared" si="1"/>
        <v>Agressivo-DESENVOLVIMENTO</v>
      </c>
      <c r="B20" s="1" t="s">
        <v>12</v>
      </c>
      <c r="C20" s="3" t="s">
        <v>9</v>
      </c>
      <c r="D20" s="4">
        <v>0.2</v>
      </c>
    </row>
    <row r="21">
      <c r="A21" s="2" t="str">
        <f t="shared" si="1"/>
        <v>Agressivo-HOTELARIAS</v>
      </c>
      <c r="B21" s="1" t="s">
        <v>12</v>
      </c>
      <c r="C21" s="3" t="s">
        <v>10</v>
      </c>
      <c r="D21" s="4">
        <v>0.1</v>
      </c>
    </row>
  </sheetData>
  <drawing r:id="rId1"/>
</worksheet>
</file>